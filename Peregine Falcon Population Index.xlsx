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tor\Downloads\"/>
    </mc:Choice>
  </mc:AlternateContent>
  <xr:revisionPtr revIDLastSave="0" documentId="8_{CD1B2105-EF1E-42D7-AAD4-B77BBB27B0C6}" xr6:coauthVersionLast="47" xr6:coauthVersionMax="47" xr10:uidLastSave="{00000000-0000-0000-0000-000000000000}"/>
  <bookViews>
    <workbookView xWindow="-108" yWindow="-108" windowWidth="23256" windowHeight="12456" xr2:uid="{97FF40C9-C481-4F7D-90CB-2CA4F51A01D0}"/>
  </bookViews>
  <sheets>
    <sheet name="Clean Data" sheetId="1" r:id="rId1"/>
    <sheet name="Raw Data" sheetId="2" r:id="rId2"/>
  </sheets>
  <calcPr calcId="0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E3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</calcChain>
</file>

<file path=xl/sharedStrings.xml><?xml version="1.0" encoding="utf-8"?>
<sst xmlns="http://schemas.openxmlformats.org/spreadsheetml/2006/main" count="10" uniqueCount="6">
  <si>
    <t>Year</t>
  </si>
  <si>
    <t>Index</t>
  </si>
  <si>
    <t>Lower CI</t>
  </si>
  <si>
    <t>Upper CI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</si>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</sst>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Canadian Peregine Falcon Population Index from 1992-2020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'Clean Data'!$B$1</c:f>
              <c:strCache>
                <c:ptCount val="1"/>
                <c:pt idx="0">
                  <c:v>Index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'Clean Data'!$A$2:$A$53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'Clean Data'!$B$2:$B$53</c:f>
              <c:numCache>
                <c:formatCode>General</c:formatCode>
                <c:ptCount val="52"/>
                <c:pt idx="0">
                  <c:v>9.58</c:v>
                </c:pt>
                <c:pt idx="1">
                  <c:v>10.28</c:v>
                </c:pt>
                <c:pt idx="2">
                  <c:v>9.93</c:v>
                </c:pt>
                <c:pt idx="3">
                  <c:v>10.220000000000001</c:v>
                </c:pt>
                <c:pt idx="4">
                  <c:v>9.43</c:v>
                </c:pt>
                <c:pt idx="5">
                  <c:v>9.73</c:v>
                </c:pt>
                <c:pt idx="6">
                  <c:v>10.07</c:v>
                </c:pt>
                <c:pt idx="7">
                  <c:v>9.9600000000000009</c:v>
                </c:pt>
                <c:pt idx="8">
                  <c:v>9.75</c:v>
                </c:pt>
                <c:pt idx="9">
                  <c:v>9.64</c:v>
                </c:pt>
                <c:pt idx="10">
                  <c:v>9.92</c:v>
                </c:pt>
                <c:pt idx="11">
                  <c:v>10.02</c:v>
                </c:pt>
                <c:pt idx="12">
                  <c:v>9.9700000000000006</c:v>
                </c:pt>
                <c:pt idx="13">
                  <c:v>10.33</c:v>
                </c:pt>
                <c:pt idx="14">
                  <c:v>10.44</c:v>
                </c:pt>
                <c:pt idx="15">
                  <c:v>10.6</c:v>
                </c:pt>
                <c:pt idx="16">
                  <c:v>11.16</c:v>
                </c:pt>
                <c:pt idx="17">
                  <c:v>11.19</c:v>
                </c:pt>
                <c:pt idx="18">
                  <c:v>11.48</c:v>
                </c:pt>
                <c:pt idx="19">
                  <c:v>11.9</c:v>
                </c:pt>
                <c:pt idx="20">
                  <c:v>12.69</c:v>
                </c:pt>
                <c:pt idx="21">
                  <c:v>12.28</c:v>
                </c:pt>
                <c:pt idx="22">
                  <c:v>13.64</c:v>
                </c:pt>
                <c:pt idx="23">
                  <c:v>13.67</c:v>
                </c:pt>
                <c:pt idx="24">
                  <c:v>14.59</c:v>
                </c:pt>
                <c:pt idx="25">
                  <c:v>15.12</c:v>
                </c:pt>
                <c:pt idx="26">
                  <c:v>14.86</c:v>
                </c:pt>
                <c:pt idx="27">
                  <c:v>15.22</c:v>
                </c:pt>
                <c:pt idx="28">
                  <c:v>16.8</c:v>
                </c:pt>
                <c:pt idx="29">
                  <c:v>16.98</c:v>
                </c:pt>
                <c:pt idx="30">
                  <c:v>18.100000000000001</c:v>
                </c:pt>
                <c:pt idx="31">
                  <c:v>17.93</c:v>
                </c:pt>
                <c:pt idx="32">
                  <c:v>18.79</c:v>
                </c:pt>
                <c:pt idx="33">
                  <c:v>19.8</c:v>
                </c:pt>
                <c:pt idx="34">
                  <c:v>20.440000000000001</c:v>
                </c:pt>
                <c:pt idx="35">
                  <c:v>21.73</c:v>
                </c:pt>
                <c:pt idx="36">
                  <c:v>23.15</c:v>
                </c:pt>
                <c:pt idx="37">
                  <c:v>24.06</c:v>
                </c:pt>
                <c:pt idx="38">
                  <c:v>24.93</c:v>
                </c:pt>
                <c:pt idx="39">
                  <c:v>25.33</c:v>
                </c:pt>
                <c:pt idx="40">
                  <c:v>27.49</c:v>
                </c:pt>
                <c:pt idx="41">
                  <c:v>28.88</c:v>
                </c:pt>
                <c:pt idx="42">
                  <c:v>30.36</c:v>
                </c:pt>
                <c:pt idx="43">
                  <c:v>30.33</c:v>
                </c:pt>
                <c:pt idx="44">
                  <c:v>31.39</c:v>
                </c:pt>
                <c:pt idx="45">
                  <c:v>31.89</c:v>
                </c:pt>
                <c:pt idx="46">
                  <c:v>33.380000000000003</c:v>
                </c:pt>
                <c:pt idx="47">
                  <c:v>34.299999999999997</c:v>
                </c:pt>
                <c:pt idx="48">
                  <c:v>36.01</c:v>
                </c:pt>
                <c:pt idx="49">
                  <c:v>36.299999999999997</c:v>
                </c:pt>
                <c:pt idx="50">
                  <c:v>37.4</c:v>
                </c:pt>
                <c:pt idx="51">
                  <c:v>39.18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A-4621-9053-8E455AE5A068}"/>
            </c:ext>
          </c:extLst>
        </c:ser>
        <c:ser>
          <c:idx val="2"/>
          <c:order val="2"/>
          <c:tx>
            <c:strRef>
              <c:f>'Clean Data'!$C$1</c:f>
              <c:strCache>
                <c:ptCount val="1"/>
                <c:pt idx="0">
                  <c:v>Lower CI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'Clean Data'!$A$2:$A$53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'Clean Data'!$C$2:$C$53</c:f>
              <c:numCache>
                <c:formatCode>General</c:formatCode>
                <c:ptCount val="52"/>
                <c:pt idx="0">
                  <c:v>5.78</c:v>
                </c:pt>
                <c:pt idx="1">
                  <c:v>6.29</c:v>
                </c:pt>
                <c:pt idx="2">
                  <c:v>6.21</c:v>
                </c:pt>
                <c:pt idx="3">
                  <c:v>6.5</c:v>
                </c:pt>
                <c:pt idx="4">
                  <c:v>6.14</c:v>
                </c:pt>
                <c:pt idx="5">
                  <c:v>6.41</c:v>
                </c:pt>
                <c:pt idx="6">
                  <c:v>6.77</c:v>
                </c:pt>
                <c:pt idx="7">
                  <c:v>6.71</c:v>
                </c:pt>
                <c:pt idx="8">
                  <c:v>6.72</c:v>
                </c:pt>
                <c:pt idx="9">
                  <c:v>6.77</c:v>
                </c:pt>
                <c:pt idx="10">
                  <c:v>7.08</c:v>
                </c:pt>
                <c:pt idx="11">
                  <c:v>7.14</c:v>
                </c:pt>
                <c:pt idx="12">
                  <c:v>7.33</c:v>
                </c:pt>
                <c:pt idx="13">
                  <c:v>7.63</c:v>
                </c:pt>
                <c:pt idx="14">
                  <c:v>7.92</c:v>
                </c:pt>
                <c:pt idx="15">
                  <c:v>8.11</c:v>
                </c:pt>
                <c:pt idx="16">
                  <c:v>8.74</c:v>
                </c:pt>
                <c:pt idx="17">
                  <c:v>8.77</c:v>
                </c:pt>
                <c:pt idx="18">
                  <c:v>9.0299999999999994</c:v>
                </c:pt>
                <c:pt idx="19">
                  <c:v>9.52</c:v>
                </c:pt>
                <c:pt idx="20">
                  <c:v>10.29</c:v>
                </c:pt>
                <c:pt idx="21">
                  <c:v>10.039999999999999</c:v>
                </c:pt>
                <c:pt idx="22">
                  <c:v>11.34</c:v>
                </c:pt>
                <c:pt idx="23">
                  <c:v>11.44</c:v>
                </c:pt>
                <c:pt idx="24">
                  <c:v>12.26</c:v>
                </c:pt>
                <c:pt idx="25">
                  <c:v>12.74</c:v>
                </c:pt>
                <c:pt idx="26">
                  <c:v>12.67</c:v>
                </c:pt>
                <c:pt idx="27">
                  <c:v>13.06</c:v>
                </c:pt>
                <c:pt idx="28">
                  <c:v>14.54</c:v>
                </c:pt>
                <c:pt idx="29">
                  <c:v>14.81</c:v>
                </c:pt>
                <c:pt idx="30">
                  <c:v>15.78</c:v>
                </c:pt>
                <c:pt idx="31">
                  <c:v>15.7</c:v>
                </c:pt>
                <c:pt idx="32">
                  <c:v>16.43</c:v>
                </c:pt>
                <c:pt idx="33">
                  <c:v>17.45</c:v>
                </c:pt>
                <c:pt idx="34">
                  <c:v>18.100000000000001</c:v>
                </c:pt>
                <c:pt idx="35">
                  <c:v>19.3</c:v>
                </c:pt>
                <c:pt idx="36">
                  <c:v>20.49</c:v>
                </c:pt>
                <c:pt idx="37">
                  <c:v>21.4</c:v>
                </c:pt>
                <c:pt idx="38">
                  <c:v>22.28</c:v>
                </c:pt>
                <c:pt idx="39">
                  <c:v>22.66</c:v>
                </c:pt>
                <c:pt idx="40">
                  <c:v>24.64</c:v>
                </c:pt>
                <c:pt idx="41">
                  <c:v>25.94</c:v>
                </c:pt>
                <c:pt idx="42">
                  <c:v>27.21</c:v>
                </c:pt>
                <c:pt idx="43">
                  <c:v>27.24</c:v>
                </c:pt>
                <c:pt idx="44">
                  <c:v>28.14</c:v>
                </c:pt>
                <c:pt idx="45">
                  <c:v>28.68</c:v>
                </c:pt>
                <c:pt idx="46">
                  <c:v>29.99</c:v>
                </c:pt>
                <c:pt idx="47">
                  <c:v>30.79</c:v>
                </c:pt>
                <c:pt idx="48">
                  <c:v>32.369999999999997</c:v>
                </c:pt>
                <c:pt idx="49">
                  <c:v>32.67</c:v>
                </c:pt>
                <c:pt idx="50">
                  <c:v>33.590000000000003</c:v>
                </c:pt>
                <c:pt idx="51">
                  <c:v>34.93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7A-4621-9053-8E455AE5A068}"/>
            </c:ext>
          </c:extLst>
        </c:ser>
        <c:ser>
          <c:idx val="3"/>
          <c:order val="3"/>
          <c:tx>
            <c:strRef>
              <c:f>'Clean Data'!$D$1</c:f>
              <c:strCache>
                <c:ptCount val="1"/>
                <c:pt idx="0">
                  <c:v>Upper CI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'Clean Data'!$A$2:$A$53</c:f>
              <c:numCache>
                <c:formatCode>General</c:formatCode>
                <c:ptCount val="52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</c:numCache>
            </c:numRef>
          </c:cat>
          <c:val>
            <c:numRef>
              <c:f>'Clean Data'!$D$2:$D$53</c:f>
              <c:numCache>
                <c:formatCode>General</c:formatCode>
                <c:ptCount val="52"/>
                <c:pt idx="0">
                  <c:v>22.7</c:v>
                </c:pt>
                <c:pt idx="1">
                  <c:v>23.42</c:v>
                </c:pt>
                <c:pt idx="2">
                  <c:v>21.85</c:v>
                </c:pt>
                <c:pt idx="3">
                  <c:v>22.47</c:v>
                </c:pt>
                <c:pt idx="4">
                  <c:v>19.920000000000002</c:v>
                </c:pt>
                <c:pt idx="5">
                  <c:v>19.87</c:v>
                </c:pt>
                <c:pt idx="6">
                  <c:v>20.38</c:v>
                </c:pt>
                <c:pt idx="7">
                  <c:v>19.93</c:v>
                </c:pt>
                <c:pt idx="8">
                  <c:v>18.989999999999998</c:v>
                </c:pt>
                <c:pt idx="9">
                  <c:v>18.45</c:v>
                </c:pt>
                <c:pt idx="10">
                  <c:v>18.45</c:v>
                </c:pt>
                <c:pt idx="11">
                  <c:v>18.7</c:v>
                </c:pt>
                <c:pt idx="12">
                  <c:v>17.489999999999998</c:v>
                </c:pt>
                <c:pt idx="13">
                  <c:v>17.920000000000002</c:v>
                </c:pt>
                <c:pt idx="14">
                  <c:v>17.47</c:v>
                </c:pt>
                <c:pt idx="15">
                  <c:v>17.260000000000002</c:v>
                </c:pt>
                <c:pt idx="16">
                  <c:v>17.670000000000002</c:v>
                </c:pt>
                <c:pt idx="17">
                  <c:v>17.440000000000001</c:v>
                </c:pt>
                <c:pt idx="18">
                  <c:v>17.850000000000001</c:v>
                </c:pt>
                <c:pt idx="19">
                  <c:v>18.13</c:v>
                </c:pt>
                <c:pt idx="20">
                  <c:v>18.41</c:v>
                </c:pt>
                <c:pt idx="21">
                  <c:v>17.850000000000001</c:v>
                </c:pt>
                <c:pt idx="22">
                  <c:v>18.89</c:v>
                </c:pt>
                <c:pt idx="23">
                  <c:v>18.690000000000001</c:v>
                </c:pt>
                <c:pt idx="24">
                  <c:v>19.600000000000001</c:v>
                </c:pt>
                <c:pt idx="25">
                  <c:v>20</c:v>
                </c:pt>
                <c:pt idx="26">
                  <c:v>19.63</c:v>
                </c:pt>
                <c:pt idx="27">
                  <c:v>19.649999999999999</c:v>
                </c:pt>
                <c:pt idx="28">
                  <c:v>21.14</c:v>
                </c:pt>
                <c:pt idx="29">
                  <c:v>21.22</c:v>
                </c:pt>
                <c:pt idx="30">
                  <c:v>22.17</c:v>
                </c:pt>
                <c:pt idx="31">
                  <c:v>21.77</c:v>
                </c:pt>
                <c:pt idx="32">
                  <c:v>22.47</c:v>
                </c:pt>
                <c:pt idx="33">
                  <c:v>23.89</c:v>
                </c:pt>
                <c:pt idx="34">
                  <c:v>24.2</c:v>
                </c:pt>
                <c:pt idx="35">
                  <c:v>25.5</c:v>
                </c:pt>
                <c:pt idx="36">
                  <c:v>27.26</c:v>
                </c:pt>
                <c:pt idx="37">
                  <c:v>27.96</c:v>
                </c:pt>
                <c:pt idx="38">
                  <c:v>28.79</c:v>
                </c:pt>
                <c:pt idx="39">
                  <c:v>29.4</c:v>
                </c:pt>
                <c:pt idx="40">
                  <c:v>31.52</c:v>
                </c:pt>
                <c:pt idx="41">
                  <c:v>32.92</c:v>
                </c:pt>
                <c:pt idx="42">
                  <c:v>34.729999999999997</c:v>
                </c:pt>
                <c:pt idx="43">
                  <c:v>34.659999999999997</c:v>
                </c:pt>
                <c:pt idx="44">
                  <c:v>35.479999999999997</c:v>
                </c:pt>
                <c:pt idx="45">
                  <c:v>36.01</c:v>
                </c:pt>
                <c:pt idx="46">
                  <c:v>37.58</c:v>
                </c:pt>
                <c:pt idx="47">
                  <c:v>38.729999999999997</c:v>
                </c:pt>
                <c:pt idx="48">
                  <c:v>40.75</c:v>
                </c:pt>
                <c:pt idx="49">
                  <c:v>41.02</c:v>
                </c:pt>
                <c:pt idx="50">
                  <c:v>42.17</c:v>
                </c:pt>
                <c:pt idx="51">
                  <c:v>44.84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7A-4621-9053-8E455AE5A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17520"/>
        <c:axId val="261818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'Clean Data'!$A$1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'Clean Data'!$A$2:$A$53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1970</c:v>
                      </c:pt>
                      <c:pt idx="1">
                        <c:v>1971</c:v>
                      </c:pt>
                      <c:pt idx="2">
                        <c:v>1972</c:v>
                      </c:pt>
                      <c:pt idx="3">
                        <c:v>1973</c:v>
                      </c:pt>
                      <c:pt idx="4">
                        <c:v>1974</c:v>
                      </c:pt>
                      <c:pt idx="5">
                        <c:v>1975</c:v>
                      </c:pt>
                      <c:pt idx="6">
                        <c:v>1976</c:v>
                      </c:pt>
                      <c:pt idx="7">
                        <c:v>1977</c:v>
                      </c:pt>
                      <c:pt idx="8">
                        <c:v>1978</c:v>
                      </c:pt>
                      <c:pt idx="9">
                        <c:v>1979</c:v>
                      </c:pt>
                      <c:pt idx="10">
                        <c:v>1980</c:v>
                      </c:pt>
                      <c:pt idx="11">
                        <c:v>1981</c:v>
                      </c:pt>
                      <c:pt idx="12">
                        <c:v>1982</c:v>
                      </c:pt>
                      <c:pt idx="13">
                        <c:v>1983</c:v>
                      </c:pt>
                      <c:pt idx="14">
                        <c:v>1984</c:v>
                      </c:pt>
                      <c:pt idx="15">
                        <c:v>1985</c:v>
                      </c:pt>
                      <c:pt idx="16">
                        <c:v>1986</c:v>
                      </c:pt>
                      <c:pt idx="17">
                        <c:v>1987</c:v>
                      </c:pt>
                      <c:pt idx="18">
                        <c:v>1988</c:v>
                      </c:pt>
                      <c:pt idx="19">
                        <c:v>1989</c:v>
                      </c:pt>
                      <c:pt idx="20">
                        <c:v>1990</c:v>
                      </c:pt>
                      <c:pt idx="21">
                        <c:v>1991</c:v>
                      </c:pt>
                      <c:pt idx="22">
                        <c:v>1992</c:v>
                      </c:pt>
                      <c:pt idx="23">
                        <c:v>1993</c:v>
                      </c:pt>
                      <c:pt idx="24">
                        <c:v>1994</c:v>
                      </c:pt>
                      <c:pt idx="25">
                        <c:v>1995</c:v>
                      </c:pt>
                      <c:pt idx="26">
                        <c:v>1996</c:v>
                      </c:pt>
                      <c:pt idx="27">
                        <c:v>1997</c:v>
                      </c:pt>
                      <c:pt idx="28">
                        <c:v>1998</c:v>
                      </c:pt>
                      <c:pt idx="29">
                        <c:v>1999</c:v>
                      </c:pt>
                      <c:pt idx="30">
                        <c:v>2000</c:v>
                      </c:pt>
                      <c:pt idx="31">
                        <c:v>2001</c:v>
                      </c:pt>
                      <c:pt idx="32">
                        <c:v>2002</c:v>
                      </c:pt>
                      <c:pt idx="33">
                        <c:v>2003</c:v>
                      </c:pt>
                      <c:pt idx="34">
                        <c:v>2004</c:v>
                      </c:pt>
                      <c:pt idx="35">
                        <c:v>2005</c:v>
                      </c:pt>
                      <c:pt idx="36">
                        <c:v>2006</c:v>
                      </c:pt>
                      <c:pt idx="37">
                        <c:v>2007</c:v>
                      </c:pt>
                      <c:pt idx="38">
                        <c:v>2008</c:v>
                      </c:pt>
                      <c:pt idx="39">
                        <c:v>2009</c:v>
                      </c:pt>
                      <c:pt idx="40">
                        <c:v>2010</c:v>
                      </c:pt>
                      <c:pt idx="41">
                        <c:v>2011</c:v>
                      </c:pt>
                      <c:pt idx="42">
                        <c:v>2012</c:v>
                      </c:pt>
                      <c:pt idx="43">
                        <c:v>2013</c:v>
                      </c:pt>
                      <c:pt idx="44">
                        <c:v>2014</c:v>
                      </c:pt>
                      <c:pt idx="45">
                        <c:v>2015</c:v>
                      </c:pt>
                      <c:pt idx="46">
                        <c:v>2016</c:v>
                      </c:pt>
                      <c:pt idx="47">
                        <c:v>2017</c:v>
                      </c:pt>
                      <c:pt idx="48">
                        <c:v>2018</c:v>
                      </c:pt>
                      <c:pt idx="49">
                        <c:v>2019</c:v>
                      </c:pt>
                      <c:pt idx="50">
                        <c:v>2020</c:v>
                      </c:pt>
                      <c:pt idx="51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'Clean Data'!$A$2:$A$53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1970</c:v>
                      </c:pt>
                      <c:pt idx="1">
                        <c:v>1971</c:v>
                      </c:pt>
                      <c:pt idx="2">
                        <c:v>1972</c:v>
                      </c:pt>
                      <c:pt idx="3">
                        <c:v>1973</c:v>
                      </c:pt>
                      <c:pt idx="4">
                        <c:v>1974</c:v>
                      </c:pt>
                      <c:pt idx="5">
                        <c:v>1975</c:v>
                      </c:pt>
                      <c:pt idx="6">
                        <c:v>1976</c:v>
                      </c:pt>
                      <c:pt idx="7">
                        <c:v>1977</c:v>
                      </c:pt>
                      <c:pt idx="8">
                        <c:v>1978</c:v>
                      </c:pt>
                      <c:pt idx="9">
                        <c:v>1979</c:v>
                      </c:pt>
                      <c:pt idx="10">
                        <c:v>1980</c:v>
                      </c:pt>
                      <c:pt idx="11">
                        <c:v>1981</c:v>
                      </c:pt>
                      <c:pt idx="12">
                        <c:v>1982</c:v>
                      </c:pt>
                      <c:pt idx="13">
                        <c:v>1983</c:v>
                      </c:pt>
                      <c:pt idx="14">
                        <c:v>1984</c:v>
                      </c:pt>
                      <c:pt idx="15">
                        <c:v>1985</c:v>
                      </c:pt>
                      <c:pt idx="16">
                        <c:v>1986</c:v>
                      </c:pt>
                      <c:pt idx="17">
                        <c:v>1987</c:v>
                      </c:pt>
                      <c:pt idx="18">
                        <c:v>1988</c:v>
                      </c:pt>
                      <c:pt idx="19">
                        <c:v>1989</c:v>
                      </c:pt>
                      <c:pt idx="20">
                        <c:v>1990</c:v>
                      </c:pt>
                      <c:pt idx="21">
                        <c:v>1991</c:v>
                      </c:pt>
                      <c:pt idx="22">
                        <c:v>1992</c:v>
                      </c:pt>
                      <c:pt idx="23">
                        <c:v>1993</c:v>
                      </c:pt>
                      <c:pt idx="24">
                        <c:v>1994</c:v>
                      </c:pt>
                      <c:pt idx="25">
                        <c:v>1995</c:v>
                      </c:pt>
                      <c:pt idx="26">
                        <c:v>1996</c:v>
                      </c:pt>
                      <c:pt idx="27">
                        <c:v>1997</c:v>
                      </c:pt>
                      <c:pt idx="28">
                        <c:v>1998</c:v>
                      </c:pt>
                      <c:pt idx="29">
                        <c:v>1999</c:v>
                      </c:pt>
                      <c:pt idx="30">
                        <c:v>2000</c:v>
                      </c:pt>
                      <c:pt idx="31">
                        <c:v>2001</c:v>
                      </c:pt>
                      <c:pt idx="32">
                        <c:v>2002</c:v>
                      </c:pt>
                      <c:pt idx="33">
                        <c:v>2003</c:v>
                      </c:pt>
                      <c:pt idx="34">
                        <c:v>2004</c:v>
                      </c:pt>
                      <c:pt idx="35">
                        <c:v>2005</c:v>
                      </c:pt>
                      <c:pt idx="36">
                        <c:v>2006</c:v>
                      </c:pt>
                      <c:pt idx="37">
                        <c:v>2007</c:v>
                      </c:pt>
                      <c:pt idx="38">
                        <c:v>2008</c:v>
                      </c:pt>
                      <c:pt idx="39">
                        <c:v>2009</c:v>
                      </c:pt>
                      <c:pt idx="40">
                        <c:v>2010</c:v>
                      </c:pt>
                      <c:pt idx="41">
                        <c:v>2011</c:v>
                      </c:pt>
                      <c:pt idx="42">
                        <c:v>2012</c:v>
                      </c:pt>
                      <c:pt idx="43">
                        <c:v>2013</c:v>
                      </c:pt>
                      <c:pt idx="44">
                        <c:v>2014</c:v>
                      </c:pt>
                      <c:pt idx="45">
                        <c:v>2015</c:v>
                      </c:pt>
                      <c:pt idx="46">
                        <c:v>2016</c:v>
                      </c:pt>
                      <c:pt idx="47">
                        <c:v>2017</c:v>
                      </c:pt>
                      <c:pt idx="48">
                        <c:v>2018</c:v>
                      </c:pt>
                      <c:pt idx="49">
                        <c:v>2019</c:v>
                      </c:pt>
                      <c:pt idx="50">
                        <c:v>2020</c:v>
                      </c:pt>
                      <c:pt idx="51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37A-4621-9053-8E455AE5A068}"/>
                  </c:ext>
                </c:extLst>
              </c15:ser>
            </c15:filteredLineSeries>
          </c:ext>
        </c:extLst>
      </c:lineChart>
      <c:catAx>
        <c:axId val="261817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18960"/>
        <c:crosses val="autoZero"/>
        <c:auto val="1"/>
        <c:lblAlgn val="ctr"/>
        <c:lblOffset val="100"/>
        <c:noMultiLvlLbl val="0"/>
      </c:catAx>
      <c:valAx>
        <c:axId val="261818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Population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0</xdr:row>
      <xdr:rowOff>0</xdr:rowOff>
    </xdr:from>
    <xdr:to>
      <xdr:col>17</xdr:col>
      <xdr:colOff>487680</xdr:colOff>
      <xdr:row>26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A6081C-3146-CCF3-D023-ECA1FF578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07441-B909-49CE-A0D8-9918D5B07744}" name="Table1" displayName="Table1" ref="A1:F53" totalsRowShown="0">
  <autoFilter ref="A1:F53" xr:uid="{CE207441-B909-49CE-A0D8-9918D5B07744}"/>
  <tableColumns count="6">
    <tableColumn id="1" xr3:uid="{513B92D7-58A9-419C-A14B-E974A018A645}" name="Year"/>
    <tableColumn id="2" xr3:uid="{23761134-6AB1-40AF-A2BC-8090B5B6AB31}" name="Index"/>
    <tableColumn id="3" xr3:uid="{E509E721-D1AC-40E8-8A18-26CB6B1BEE06}" name="Lower CI"/>
    <tableColumn id="4" xr3:uid="{BB80860C-C4C8-4AEF-B4C6-88982687CA83}" name="Upper CI"/>
    <tableColumn id="5" xr3:uid="{C40FAF2E-6F3D-4A4F-8553-F7E7F6CCA603}" name="Mean" dataDxfId="1">
      <calculatedColumnFormula>GEOMEAN(Table1[Index])</calculatedColumnFormula>
    </tableColumn>
    <tableColumn id="6" xr3:uid="{4194A2F1-1737-49AF-BB9F-F75F1CFADA5D}" name="Median" dataDxfId="0">
      <calculatedColumnFormula>MEDIAN(Table1[Index])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7FDD-634E-4B30-95BC-76609235D003}">
  <dimension ref="A1:F53"/>
  <sheetViews>
    <sheetView tabSelected="1" workbookViewId="0">
      <selection activeCell="G2" sqref="G2:G53"/>
    </sheetView>
  </sheetViews>
  <sheetFormatPr defaultRowHeight="14.4" x14ac:dyDescent="0.3"/>
  <cols>
    <col min="3" max="4" width="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1970</v>
      </c>
      <c r="B2">
        <v>9.58</v>
      </c>
      <c r="C2">
        <v>5.78</v>
      </c>
      <c r="D2">
        <v>22.7</v>
      </c>
      <c r="E2">
        <f>GEOMEAN(Table1[Index])</f>
        <v>16.508270682304278</v>
      </c>
      <c r="F2">
        <f>MEDIAN(Table1[Index])</f>
        <v>14.989999999999998</v>
      </c>
    </row>
    <row r="3" spans="1:6" x14ac:dyDescent="0.3">
      <c r="A3">
        <v>1971</v>
      </c>
      <c r="B3">
        <v>10.28</v>
      </c>
      <c r="C3">
        <v>6.29</v>
      </c>
      <c r="D3">
        <v>23.42</v>
      </c>
      <c r="E3">
        <f>GEOMEAN(Table1[Index])</f>
        <v>16.508270682304278</v>
      </c>
      <c r="F3">
        <f>MEDIAN(Table1[Index])</f>
        <v>14.989999999999998</v>
      </c>
    </row>
    <row r="4" spans="1:6" x14ac:dyDescent="0.3">
      <c r="A4">
        <v>1972</v>
      </c>
      <c r="B4">
        <v>9.93</v>
      </c>
      <c r="C4">
        <v>6.21</v>
      </c>
      <c r="D4">
        <v>21.85</v>
      </c>
      <c r="E4">
        <f>GEOMEAN(Table1[Index])</f>
        <v>16.508270682304278</v>
      </c>
      <c r="F4">
        <f>MEDIAN(Table1[Index])</f>
        <v>14.989999999999998</v>
      </c>
    </row>
    <row r="5" spans="1:6" x14ac:dyDescent="0.3">
      <c r="A5">
        <v>1973</v>
      </c>
      <c r="B5">
        <v>10.220000000000001</v>
      </c>
      <c r="C5">
        <v>6.5</v>
      </c>
      <c r="D5">
        <v>22.47</v>
      </c>
      <c r="E5">
        <f>GEOMEAN(Table1[Index])</f>
        <v>16.508270682304278</v>
      </c>
      <c r="F5">
        <f>MEDIAN(Table1[Index])</f>
        <v>14.989999999999998</v>
      </c>
    </row>
    <row r="6" spans="1:6" x14ac:dyDescent="0.3">
      <c r="A6">
        <v>1974</v>
      </c>
      <c r="B6">
        <v>9.43</v>
      </c>
      <c r="C6">
        <v>6.14</v>
      </c>
      <c r="D6">
        <v>19.920000000000002</v>
      </c>
      <c r="E6">
        <f>GEOMEAN(Table1[Index])</f>
        <v>16.508270682304278</v>
      </c>
      <c r="F6">
        <f>MEDIAN(Table1[Index])</f>
        <v>14.989999999999998</v>
      </c>
    </row>
    <row r="7" spans="1:6" x14ac:dyDescent="0.3">
      <c r="A7">
        <v>1975</v>
      </c>
      <c r="B7">
        <v>9.73</v>
      </c>
      <c r="C7">
        <v>6.41</v>
      </c>
      <c r="D7">
        <v>19.87</v>
      </c>
      <c r="E7">
        <f>GEOMEAN(Table1[Index])</f>
        <v>16.508270682304278</v>
      </c>
      <c r="F7">
        <f>MEDIAN(Table1[Index])</f>
        <v>14.989999999999998</v>
      </c>
    </row>
    <row r="8" spans="1:6" x14ac:dyDescent="0.3">
      <c r="A8">
        <v>1976</v>
      </c>
      <c r="B8">
        <v>10.07</v>
      </c>
      <c r="C8">
        <v>6.77</v>
      </c>
      <c r="D8">
        <v>20.38</v>
      </c>
      <c r="E8">
        <f>GEOMEAN(Table1[Index])</f>
        <v>16.508270682304278</v>
      </c>
      <c r="F8">
        <f>MEDIAN(Table1[Index])</f>
        <v>14.989999999999998</v>
      </c>
    </row>
    <row r="9" spans="1:6" x14ac:dyDescent="0.3">
      <c r="A9">
        <v>1977</v>
      </c>
      <c r="B9">
        <v>9.9600000000000009</v>
      </c>
      <c r="C9">
        <v>6.71</v>
      </c>
      <c r="D9">
        <v>19.93</v>
      </c>
      <c r="E9">
        <f>GEOMEAN(Table1[Index])</f>
        <v>16.508270682304278</v>
      </c>
      <c r="F9">
        <f>MEDIAN(Table1[Index])</f>
        <v>14.989999999999998</v>
      </c>
    </row>
    <row r="10" spans="1:6" x14ac:dyDescent="0.3">
      <c r="A10">
        <v>1978</v>
      </c>
      <c r="B10">
        <v>9.75</v>
      </c>
      <c r="C10">
        <v>6.72</v>
      </c>
      <c r="D10">
        <v>18.989999999999998</v>
      </c>
      <c r="E10">
        <f>GEOMEAN(Table1[Index])</f>
        <v>16.508270682304278</v>
      </c>
      <c r="F10">
        <f>MEDIAN(Table1[Index])</f>
        <v>14.989999999999998</v>
      </c>
    </row>
    <row r="11" spans="1:6" x14ac:dyDescent="0.3">
      <c r="A11">
        <v>1979</v>
      </c>
      <c r="B11">
        <v>9.64</v>
      </c>
      <c r="C11">
        <v>6.77</v>
      </c>
      <c r="D11">
        <v>18.45</v>
      </c>
      <c r="E11">
        <f>GEOMEAN(Table1[Index])</f>
        <v>16.508270682304278</v>
      </c>
      <c r="F11">
        <f>MEDIAN(Table1[Index])</f>
        <v>14.989999999999998</v>
      </c>
    </row>
    <row r="12" spans="1:6" x14ac:dyDescent="0.3">
      <c r="A12">
        <v>1980</v>
      </c>
      <c r="B12">
        <v>9.92</v>
      </c>
      <c r="C12">
        <v>7.08</v>
      </c>
      <c r="D12">
        <v>18.45</v>
      </c>
      <c r="E12">
        <f>GEOMEAN(Table1[Index])</f>
        <v>16.508270682304278</v>
      </c>
      <c r="F12">
        <f>MEDIAN(Table1[Index])</f>
        <v>14.989999999999998</v>
      </c>
    </row>
    <row r="13" spans="1:6" x14ac:dyDescent="0.3">
      <c r="A13">
        <v>1981</v>
      </c>
      <c r="B13">
        <v>10.02</v>
      </c>
      <c r="C13">
        <v>7.14</v>
      </c>
      <c r="D13">
        <v>18.7</v>
      </c>
      <c r="E13">
        <f>GEOMEAN(Table1[Index])</f>
        <v>16.508270682304278</v>
      </c>
      <c r="F13">
        <f>MEDIAN(Table1[Index])</f>
        <v>14.989999999999998</v>
      </c>
    </row>
    <row r="14" spans="1:6" x14ac:dyDescent="0.3">
      <c r="A14">
        <v>1982</v>
      </c>
      <c r="B14">
        <v>9.9700000000000006</v>
      </c>
      <c r="C14">
        <v>7.33</v>
      </c>
      <c r="D14">
        <v>17.489999999999998</v>
      </c>
      <c r="E14">
        <f>GEOMEAN(Table1[Index])</f>
        <v>16.508270682304278</v>
      </c>
      <c r="F14">
        <f>MEDIAN(Table1[Index])</f>
        <v>14.989999999999998</v>
      </c>
    </row>
    <row r="15" spans="1:6" x14ac:dyDescent="0.3">
      <c r="A15">
        <v>1983</v>
      </c>
      <c r="B15">
        <v>10.33</v>
      </c>
      <c r="C15">
        <v>7.63</v>
      </c>
      <c r="D15">
        <v>17.920000000000002</v>
      </c>
      <c r="E15">
        <f>GEOMEAN(Table1[Index])</f>
        <v>16.508270682304278</v>
      </c>
      <c r="F15">
        <f>MEDIAN(Table1[Index])</f>
        <v>14.989999999999998</v>
      </c>
    </row>
    <row r="16" spans="1:6" x14ac:dyDescent="0.3">
      <c r="A16">
        <v>1984</v>
      </c>
      <c r="B16">
        <v>10.44</v>
      </c>
      <c r="C16">
        <v>7.92</v>
      </c>
      <c r="D16">
        <v>17.47</v>
      </c>
      <c r="E16">
        <f>GEOMEAN(Table1[Index])</f>
        <v>16.508270682304278</v>
      </c>
      <c r="F16">
        <f>MEDIAN(Table1[Index])</f>
        <v>14.989999999999998</v>
      </c>
    </row>
    <row r="17" spans="1:6" x14ac:dyDescent="0.3">
      <c r="A17">
        <v>1985</v>
      </c>
      <c r="B17">
        <v>10.6</v>
      </c>
      <c r="C17">
        <v>8.11</v>
      </c>
      <c r="D17">
        <v>17.260000000000002</v>
      </c>
      <c r="E17">
        <f>GEOMEAN(Table1[Index])</f>
        <v>16.508270682304278</v>
      </c>
      <c r="F17">
        <f>MEDIAN(Table1[Index])</f>
        <v>14.989999999999998</v>
      </c>
    </row>
    <row r="18" spans="1:6" x14ac:dyDescent="0.3">
      <c r="A18">
        <v>1986</v>
      </c>
      <c r="B18">
        <v>11.16</v>
      </c>
      <c r="C18">
        <v>8.74</v>
      </c>
      <c r="D18">
        <v>17.670000000000002</v>
      </c>
      <c r="E18">
        <f>GEOMEAN(Table1[Index])</f>
        <v>16.508270682304278</v>
      </c>
      <c r="F18">
        <f>MEDIAN(Table1[Index])</f>
        <v>14.989999999999998</v>
      </c>
    </row>
    <row r="19" spans="1:6" x14ac:dyDescent="0.3">
      <c r="A19">
        <v>1987</v>
      </c>
      <c r="B19">
        <v>11.19</v>
      </c>
      <c r="C19">
        <v>8.77</v>
      </c>
      <c r="D19">
        <v>17.440000000000001</v>
      </c>
      <c r="E19">
        <f>GEOMEAN(Table1[Index])</f>
        <v>16.508270682304278</v>
      </c>
      <c r="F19">
        <f>MEDIAN(Table1[Index])</f>
        <v>14.989999999999998</v>
      </c>
    </row>
    <row r="20" spans="1:6" x14ac:dyDescent="0.3">
      <c r="A20">
        <v>1988</v>
      </c>
      <c r="B20">
        <v>11.48</v>
      </c>
      <c r="C20">
        <v>9.0299999999999994</v>
      </c>
      <c r="D20">
        <v>17.850000000000001</v>
      </c>
      <c r="E20">
        <f>GEOMEAN(Table1[Index])</f>
        <v>16.508270682304278</v>
      </c>
      <c r="F20">
        <f>MEDIAN(Table1[Index])</f>
        <v>14.989999999999998</v>
      </c>
    </row>
    <row r="21" spans="1:6" x14ac:dyDescent="0.3">
      <c r="A21">
        <v>1989</v>
      </c>
      <c r="B21">
        <v>11.9</v>
      </c>
      <c r="C21">
        <v>9.52</v>
      </c>
      <c r="D21">
        <v>18.13</v>
      </c>
      <c r="E21">
        <f>GEOMEAN(Table1[Index])</f>
        <v>16.508270682304278</v>
      </c>
      <c r="F21">
        <f>MEDIAN(Table1[Index])</f>
        <v>14.989999999999998</v>
      </c>
    </row>
    <row r="22" spans="1:6" x14ac:dyDescent="0.3">
      <c r="A22">
        <v>1990</v>
      </c>
      <c r="B22">
        <v>12.69</v>
      </c>
      <c r="C22">
        <v>10.29</v>
      </c>
      <c r="D22">
        <v>18.41</v>
      </c>
      <c r="E22">
        <f>GEOMEAN(Table1[Index])</f>
        <v>16.508270682304278</v>
      </c>
      <c r="F22">
        <f>MEDIAN(Table1[Index])</f>
        <v>14.989999999999998</v>
      </c>
    </row>
    <row r="23" spans="1:6" x14ac:dyDescent="0.3">
      <c r="A23">
        <v>1991</v>
      </c>
      <c r="B23">
        <v>12.28</v>
      </c>
      <c r="C23">
        <v>10.039999999999999</v>
      </c>
      <c r="D23">
        <v>17.850000000000001</v>
      </c>
      <c r="E23">
        <f>GEOMEAN(Table1[Index])</f>
        <v>16.508270682304278</v>
      </c>
      <c r="F23">
        <f>MEDIAN(Table1[Index])</f>
        <v>14.989999999999998</v>
      </c>
    </row>
    <row r="24" spans="1:6" x14ac:dyDescent="0.3">
      <c r="A24">
        <v>1992</v>
      </c>
      <c r="B24">
        <v>13.64</v>
      </c>
      <c r="C24">
        <v>11.34</v>
      </c>
      <c r="D24">
        <v>18.89</v>
      </c>
      <c r="E24">
        <f>GEOMEAN(Table1[Index])</f>
        <v>16.508270682304278</v>
      </c>
      <c r="F24">
        <f>MEDIAN(Table1[Index])</f>
        <v>14.989999999999998</v>
      </c>
    </row>
    <row r="25" spans="1:6" x14ac:dyDescent="0.3">
      <c r="A25">
        <v>1993</v>
      </c>
      <c r="B25">
        <v>13.67</v>
      </c>
      <c r="C25">
        <v>11.44</v>
      </c>
      <c r="D25">
        <v>18.690000000000001</v>
      </c>
      <c r="E25">
        <f>GEOMEAN(Table1[Index])</f>
        <v>16.508270682304278</v>
      </c>
      <c r="F25">
        <f>MEDIAN(Table1[Index])</f>
        <v>14.989999999999998</v>
      </c>
    </row>
    <row r="26" spans="1:6" x14ac:dyDescent="0.3">
      <c r="A26">
        <v>1994</v>
      </c>
      <c r="B26">
        <v>14.59</v>
      </c>
      <c r="C26">
        <v>12.26</v>
      </c>
      <c r="D26">
        <v>19.600000000000001</v>
      </c>
      <c r="E26">
        <f>GEOMEAN(Table1[Index])</f>
        <v>16.508270682304278</v>
      </c>
      <c r="F26">
        <f>MEDIAN(Table1[Index])</f>
        <v>14.989999999999998</v>
      </c>
    </row>
    <row r="27" spans="1:6" x14ac:dyDescent="0.3">
      <c r="A27">
        <v>1995</v>
      </c>
      <c r="B27">
        <v>15.12</v>
      </c>
      <c r="C27">
        <v>12.74</v>
      </c>
      <c r="D27">
        <v>20</v>
      </c>
      <c r="E27">
        <f>GEOMEAN(Table1[Index])</f>
        <v>16.508270682304278</v>
      </c>
      <c r="F27">
        <f>MEDIAN(Table1[Index])</f>
        <v>14.989999999999998</v>
      </c>
    </row>
    <row r="28" spans="1:6" x14ac:dyDescent="0.3">
      <c r="A28">
        <v>1996</v>
      </c>
      <c r="B28">
        <v>14.86</v>
      </c>
      <c r="C28">
        <v>12.67</v>
      </c>
      <c r="D28">
        <v>19.63</v>
      </c>
      <c r="E28">
        <f>GEOMEAN(Table1[Index])</f>
        <v>16.508270682304278</v>
      </c>
      <c r="F28">
        <f>MEDIAN(Table1[Index])</f>
        <v>14.989999999999998</v>
      </c>
    </row>
    <row r="29" spans="1:6" x14ac:dyDescent="0.3">
      <c r="A29">
        <v>1997</v>
      </c>
      <c r="B29">
        <v>15.22</v>
      </c>
      <c r="C29">
        <v>13.06</v>
      </c>
      <c r="D29">
        <v>19.649999999999999</v>
      </c>
      <c r="E29">
        <f>GEOMEAN(Table1[Index])</f>
        <v>16.508270682304278</v>
      </c>
      <c r="F29">
        <f>MEDIAN(Table1[Index])</f>
        <v>14.989999999999998</v>
      </c>
    </row>
    <row r="30" spans="1:6" x14ac:dyDescent="0.3">
      <c r="A30">
        <v>1998</v>
      </c>
      <c r="B30">
        <v>16.8</v>
      </c>
      <c r="C30">
        <v>14.54</v>
      </c>
      <c r="D30">
        <v>21.14</v>
      </c>
      <c r="E30">
        <f>GEOMEAN(Table1[Index])</f>
        <v>16.508270682304278</v>
      </c>
      <c r="F30">
        <f>MEDIAN(Table1[Index])</f>
        <v>14.989999999999998</v>
      </c>
    </row>
    <row r="31" spans="1:6" x14ac:dyDescent="0.3">
      <c r="A31">
        <v>1999</v>
      </c>
      <c r="B31">
        <v>16.98</v>
      </c>
      <c r="C31">
        <v>14.81</v>
      </c>
      <c r="D31">
        <v>21.22</v>
      </c>
      <c r="E31">
        <f>GEOMEAN(Table1[Index])</f>
        <v>16.508270682304278</v>
      </c>
      <c r="F31">
        <f>MEDIAN(Table1[Index])</f>
        <v>14.989999999999998</v>
      </c>
    </row>
    <row r="32" spans="1:6" x14ac:dyDescent="0.3">
      <c r="A32">
        <v>2000</v>
      </c>
      <c r="B32">
        <v>18.100000000000001</v>
      </c>
      <c r="C32">
        <v>15.78</v>
      </c>
      <c r="D32">
        <v>22.17</v>
      </c>
      <c r="E32">
        <f>GEOMEAN(Table1[Index])</f>
        <v>16.508270682304278</v>
      </c>
      <c r="F32">
        <f>MEDIAN(Table1[Index])</f>
        <v>14.989999999999998</v>
      </c>
    </row>
    <row r="33" spans="1:6" x14ac:dyDescent="0.3">
      <c r="A33">
        <v>2001</v>
      </c>
      <c r="B33">
        <v>17.93</v>
      </c>
      <c r="C33">
        <v>15.7</v>
      </c>
      <c r="D33">
        <v>21.77</v>
      </c>
      <c r="E33">
        <f>GEOMEAN(Table1[Index])</f>
        <v>16.508270682304278</v>
      </c>
      <c r="F33">
        <f>MEDIAN(Table1[Index])</f>
        <v>14.989999999999998</v>
      </c>
    </row>
    <row r="34" spans="1:6" x14ac:dyDescent="0.3">
      <c r="A34">
        <v>2002</v>
      </c>
      <c r="B34">
        <v>18.79</v>
      </c>
      <c r="C34">
        <v>16.43</v>
      </c>
      <c r="D34">
        <v>22.47</v>
      </c>
      <c r="E34">
        <f>GEOMEAN(Table1[Index])</f>
        <v>16.508270682304278</v>
      </c>
      <c r="F34">
        <f>MEDIAN(Table1[Index])</f>
        <v>14.989999999999998</v>
      </c>
    </row>
    <row r="35" spans="1:6" x14ac:dyDescent="0.3">
      <c r="A35">
        <v>2003</v>
      </c>
      <c r="B35">
        <v>19.8</v>
      </c>
      <c r="C35">
        <v>17.45</v>
      </c>
      <c r="D35">
        <v>23.89</v>
      </c>
      <c r="E35">
        <f>GEOMEAN(Table1[Index])</f>
        <v>16.508270682304278</v>
      </c>
      <c r="F35">
        <f>MEDIAN(Table1[Index])</f>
        <v>14.989999999999998</v>
      </c>
    </row>
    <row r="36" spans="1:6" x14ac:dyDescent="0.3">
      <c r="A36">
        <v>2004</v>
      </c>
      <c r="B36">
        <v>20.440000000000001</v>
      </c>
      <c r="C36">
        <v>18.100000000000001</v>
      </c>
      <c r="D36">
        <v>24.2</v>
      </c>
      <c r="E36">
        <f>GEOMEAN(Table1[Index])</f>
        <v>16.508270682304278</v>
      </c>
      <c r="F36">
        <f>MEDIAN(Table1[Index])</f>
        <v>14.989999999999998</v>
      </c>
    </row>
    <row r="37" spans="1:6" x14ac:dyDescent="0.3">
      <c r="A37">
        <v>2005</v>
      </c>
      <c r="B37">
        <v>21.73</v>
      </c>
      <c r="C37">
        <v>19.3</v>
      </c>
      <c r="D37">
        <v>25.5</v>
      </c>
      <c r="E37">
        <f>GEOMEAN(Table1[Index])</f>
        <v>16.508270682304278</v>
      </c>
      <c r="F37">
        <f>MEDIAN(Table1[Index])</f>
        <v>14.989999999999998</v>
      </c>
    </row>
    <row r="38" spans="1:6" x14ac:dyDescent="0.3">
      <c r="A38">
        <v>2006</v>
      </c>
      <c r="B38">
        <v>23.15</v>
      </c>
      <c r="C38">
        <v>20.49</v>
      </c>
      <c r="D38">
        <v>27.26</v>
      </c>
      <c r="E38">
        <f>GEOMEAN(Table1[Index])</f>
        <v>16.508270682304278</v>
      </c>
      <c r="F38">
        <f>MEDIAN(Table1[Index])</f>
        <v>14.989999999999998</v>
      </c>
    </row>
    <row r="39" spans="1:6" x14ac:dyDescent="0.3">
      <c r="A39">
        <v>2007</v>
      </c>
      <c r="B39">
        <v>24.06</v>
      </c>
      <c r="C39">
        <v>21.4</v>
      </c>
      <c r="D39">
        <v>27.96</v>
      </c>
      <c r="E39">
        <f>GEOMEAN(Table1[Index])</f>
        <v>16.508270682304278</v>
      </c>
      <c r="F39">
        <f>MEDIAN(Table1[Index])</f>
        <v>14.989999999999998</v>
      </c>
    </row>
    <row r="40" spans="1:6" x14ac:dyDescent="0.3">
      <c r="A40">
        <v>2008</v>
      </c>
      <c r="B40">
        <v>24.93</v>
      </c>
      <c r="C40">
        <v>22.28</v>
      </c>
      <c r="D40">
        <v>28.79</v>
      </c>
      <c r="E40">
        <f>GEOMEAN(Table1[Index])</f>
        <v>16.508270682304278</v>
      </c>
      <c r="F40">
        <f>MEDIAN(Table1[Index])</f>
        <v>14.989999999999998</v>
      </c>
    </row>
    <row r="41" spans="1:6" x14ac:dyDescent="0.3">
      <c r="A41">
        <v>2009</v>
      </c>
      <c r="B41">
        <v>25.33</v>
      </c>
      <c r="C41">
        <v>22.66</v>
      </c>
      <c r="D41">
        <v>29.4</v>
      </c>
      <c r="E41">
        <f>GEOMEAN(Table1[Index])</f>
        <v>16.508270682304278</v>
      </c>
      <c r="F41">
        <f>MEDIAN(Table1[Index])</f>
        <v>14.989999999999998</v>
      </c>
    </row>
    <row r="42" spans="1:6" x14ac:dyDescent="0.3">
      <c r="A42">
        <v>2010</v>
      </c>
      <c r="B42">
        <v>27.49</v>
      </c>
      <c r="C42">
        <v>24.64</v>
      </c>
      <c r="D42">
        <v>31.52</v>
      </c>
      <c r="E42">
        <f>GEOMEAN(Table1[Index])</f>
        <v>16.508270682304278</v>
      </c>
      <c r="F42">
        <f>MEDIAN(Table1[Index])</f>
        <v>14.989999999999998</v>
      </c>
    </row>
    <row r="43" spans="1:6" x14ac:dyDescent="0.3">
      <c r="A43">
        <v>2011</v>
      </c>
      <c r="B43">
        <v>28.88</v>
      </c>
      <c r="C43">
        <v>25.94</v>
      </c>
      <c r="D43">
        <v>32.92</v>
      </c>
      <c r="E43">
        <f>GEOMEAN(Table1[Index])</f>
        <v>16.508270682304278</v>
      </c>
      <c r="F43">
        <f>MEDIAN(Table1[Index])</f>
        <v>14.989999999999998</v>
      </c>
    </row>
    <row r="44" spans="1:6" x14ac:dyDescent="0.3">
      <c r="A44">
        <v>2012</v>
      </c>
      <c r="B44">
        <v>30.36</v>
      </c>
      <c r="C44">
        <v>27.21</v>
      </c>
      <c r="D44">
        <v>34.729999999999997</v>
      </c>
      <c r="E44">
        <f>GEOMEAN(Table1[Index])</f>
        <v>16.508270682304278</v>
      </c>
      <c r="F44">
        <f>MEDIAN(Table1[Index])</f>
        <v>14.989999999999998</v>
      </c>
    </row>
    <row r="45" spans="1:6" x14ac:dyDescent="0.3">
      <c r="A45">
        <v>2013</v>
      </c>
      <c r="B45">
        <v>30.33</v>
      </c>
      <c r="C45">
        <v>27.24</v>
      </c>
      <c r="D45">
        <v>34.659999999999997</v>
      </c>
      <c r="E45">
        <f>GEOMEAN(Table1[Index])</f>
        <v>16.508270682304278</v>
      </c>
      <c r="F45">
        <f>MEDIAN(Table1[Index])</f>
        <v>14.989999999999998</v>
      </c>
    </row>
    <row r="46" spans="1:6" x14ac:dyDescent="0.3">
      <c r="A46">
        <v>2014</v>
      </c>
      <c r="B46">
        <v>31.39</v>
      </c>
      <c r="C46">
        <v>28.14</v>
      </c>
      <c r="D46">
        <v>35.479999999999997</v>
      </c>
      <c r="E46">
        <f>GEOMEAN(Table1[Index])</f>
        <v>16.508270682304278</v>
      </c>
      <c r="F46">
        <f>MEDIAN(Table1[Index])</f>
        <v>14.989999999999998</v>
      </c>
    </row>
    <row r="47" spans="1:6" x14ac:dyDescent="0.3">
      <c r="A47">
        <v>2015</v>
      </c>
      <c r="B47">
        <v>31.89</v>
      </c>
      <c r="C47">
        <v>28.68</v>
      </c>
      <c r="D47">
        <v>36.01</v>
      </c>
      <c r="E47">
        <f>GEOMEAN(Table1[Index])</f>
        <v>16.508270682304278</v>
      </c>
      <c r="F47">
        <f>MEDIAN(Table1[Index])</f>
        <v>14.989999999999998</v>
      </c>
    </row>
    <row r="48" spans="1:6" x14ac:dyDescent="0.3">
      <c r="A48">
        <v>2016</v>
      </c>
      <c r="B48">
        <v>33.380000000000003</v>
      </c>
      <c r="C48">
        <v>29.99</v>
      </c>
      <c r="D48">
        <v>37.58</v>
      </c>
      <c r="E48">
        <f>GEOMEAN(Table1[Index])</f>
        <v>16.508270682304278</v>
      </c>
      <c r="F48">
        <f>MEDIAN(Table1[Index])</f>
        <v>14.989999999999998</v>
      </c>
    </row>
    <row r="49" spans="1:6" x14ac:dyDescent="0.3">
      <c r="A49">
        <v>2017</v>
      </c>
      <c r="B49">
        <v>34.299999999999997</v>
      </c>
      <c r="C49">
        <v>30.79</v>
      </c>
      <c r="D49">
        <v>38.729999999999997</v>
      </c>
      <c r="E49">
        <f>GEOMEAN(Table1[Index])</f>
        <v>16.508270682304278</v>
      </c>
      <c r="F49">
        <f>MEDIAN(Table1[Index])</f>
        <v>14.989999999999998</v>
      </c>
    </row>
    <row r="50" spans="1:6" x14ac:dyDescent="0.3">
      <c r="A50">
        <v>2018</v>
      </c>
      <c r="B50">
        <v>36.01</v>
      </c>
      <c r="C50">
        <v>32.369999999999997</v>
      </c>
      <c r="D50">
        <v>40.75</v>
      </c>
      <c r="E50">
        <f>GEOMEAN(Table1[Index])</f>
        <v>16.508270682304278</v>
      </c>
      <c r="F50">
        <f>MEDIAN(Table1[Index])</f>
        <v>14.989999999999998</v>
      </c>
    </row>
    <row r="51" spans="1:6" x14ac:dyDescent="0.3">
      <c r="A51">
        <v>2019</v>
      </c>
      <c r="B51">
        <v>36.299999999999997</v>
      </c>
      <c r="C51">
        <v>32.67</v>
      </c>
      <c r="D51">
        <v>41.02</v>
      </c>
      <c r="E51">
        <f>GEOMEAN(Table1[Index])</f>
        <v>16.508270682304278</v>
      </c>
      <c r="F51">
        <f>MEDIAN(Table1[Index])</f>
        <v>14.989999999999998</v>
      </c>
    </row>
    <row r="52" spans="1:6" x14ac:dyDescent="0.3">
      <c r="A52">
        <v>2020</v>
      </c>
      <c r="B52">
        <v>37.4</v>
      </c>
      <c r="C52">
        <v>33.590000000000003</v>
      </c>
      <c r="D52">
        <v>42.17</v>
      </c>
      <c r="E52">
        <f>GEOMEAN(Table1[Index])</f>
        <v>16.508270682304278</v>
      </c>
      <c r="F52">
        <f>MEDIAN(Table1[Index])</f>
        <v>14.989999999999998</v>
      </c>
    </row>
    <row r="53" spans="1:6" x14ac:dyDescent="0.3">
      <c r="A53">
        <v>2021</v>
      </c>
      <c r="B53">
        <v>39.18</v>
      </c>
      <c r="C53">
        <v>34.93</v>
      </c>
      <c r="D53">
        <v>44.84</v>
      </c>
      <c r="E53">
        <f>GEOMEAN(Table1[Index])</f>
        <v>16.508270682304278</v>
      </c>
      <c r="F53">
        <f>MEDIAN(Table1[Index])</f>
        <v>14.989999999999998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6A7D-745B-4C27-9125-DD53586219EF}">
  <dimension ref="A1:D53"/>
  <sheetViews>
    <sheetView workbookViewId="0">
      <selection sqref="A1:D5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1970</v>
      </c>
      <c r="B2">
        <v>9.58</v>
      </c>
      <c r="C2">
        <v>5.78</v>
      </c>
      <c r="D2">
        <v>22.7</v>
      </c>
    </row>
    <row r="3" spans="1:4" x14ac:dyDescent="0.3">
      <c r="A3">
        <v>1971</v>
      </c>
      <c r="B3">
        <v>10.28</v>
      </c>
      <c r="C3">
        <v>6.29</v>
      </c>
      <c r="D3">
        <v>23.42</v>
      </c>
    </row>
    <row r="4" spans="1:4" x14ac:dyDescent="0.3">
      <c r="A4">
        <v>1972</v>
      </c>
      <c r="B4">
        <v>9.93</v>
      </c>
      <c r="C4">
        <v>6.21</v>
      </c>
      <c r="D4">
        <v>21.85</v>
      </c>
    </row>
    <row r="5" spans="1:4" x14ac:dyDescent="0.3">
      <c r="A5">
        <v>1973</v>
      </c>
      <c r="B5">
        <v>10.220000000000001</v>
      </c>
      <c r="C5">
        <v>6.5</v>
      </c>
      <c r="D5">
        <v>22.47</v>
      </c>
    </row>
    <row r="6" spans="1:4" x14ac:dyDescent="0.3">
      <c r="A6">
        <v>1974</v>
      </c>
      <c r="B6">
        <v>9.43</v>
      </c>
      <c r="C6">
        <v>6.14</v>
      </c>
      <c r="D6">
        <v>19.920000000000002</v>
      </c>
    </row>
    <row r="7" spans="1:4" x14ac:dyDescent="0.3">
      <c r="A7">
        <v>1975</v>
      </c>
      <c r="B7">
        <v>9.73</v>
      </c>
      <c r="C7">
        <v>6.41</v>
      </c>
      <c r="D7">
        <v>19.87</v>
      </c>
    </row>
    <row r="8" spans="1:4" x14ac:dyDescent="0.3">
      <c r="A8">
        <v>1976</v>
      </c>
      <c r="B8">
        <v>10.07</v>
      </c>
      <c r="C8">
        <v>6.77</v>
      </c>
      <c r="D8">
        <v>20.38</v>
      </c>
    </row>
    <row r="9" spans="1:4" x14ac:dyDescent="0.3">
      <c r="A9">
        <v>1977</v>
      </c>
      <c r="B9">
        <v>9.9600000000000009</v>
      </c>
      <c r="C9">
        <v>6.71</v>
      </c>
      <c r="D9">
        <v>19.93</v>
      </c>
    </row>
    <row r="10" spans="1:4" x14ac:dyDescent="0.3">
      <c r="A10">
        <v>1978</v>
      </c>
      <c r="B10">
        <v>9.75</v>
      </c>
      <c r="C10">
        <v>6.72</v>
      </c>
      <c r="D10">
        <v>18.989999999999998</v>
      </c>
    </row>
    <row r="11" spans="1:4" x14ac:dyDescent="0.3">
      <c r="A11">
        <v>1979</v>
      </c>
      <c r="B11">
        <v>9.64</v>
      </c>
      <c r="C11">
        <v>6.77</v>
      </c>
      <c r="D11">
        <v>18.45</v>
      </c>
    </row>
    <row r="12" spans="1:4" x14ac:dyDescent="0.3">
      <c r="A12">
        <v>1980</v>
      </c>
      <c r="B12">
        <v>9.92</v>
      </c>
      <c r="C12">
        <v>7.08</v>
      </c>
      <c r="D12">
        <v>18.45</v>
      </c>
    </row>
    <row r="13" spans="1:4" x14ac:dyDescent="0.3">
      <c r="A13">
        <v>1981</v>
      </c>
      <c r="B13">
        <v>10.02</v>
      </c>
      <c r="C13">
        <v>7.14</v>
      </c>
      <c r="D13">
        <v>18.7</v>
      </c>
    </row>
    <row r="14" spans="1:4" x14ac:dyDescent="0.3">
      <c r="A14">
        <v>1982</v>
      </c>
      <c r="B14">
        <v>9.9700000000000006</v>
      </c>
      <c r="C14">
        <v>7.33</v>
      </c>
      <c r="D14">
        <v>17.489999999999998</v>
      </c>
    </row>
    <row r="15" spans="1:4" x14ac:dyDescent="0.3">
      <c r="A15">
        <v>1983</v>
      </c>
      <c r="B15">
        <v>10.33</v>
      </c>
      <c r="C15">
        <v>7.63</v>
      </c>
      <c r="D15">
        <v>17.920000000000002</v>
      </c>
    </row>
    <row r="16" spans="1:4" x14ac:dyDescent="0.3">
      <c r="A16">
        <v>1984</v>
      </c>
      <c r="B16">
        <v>10.44</v>
      </c>
      <c r="C16">
        <v>7.92</v>
      </c>
      <c r="D16">
        <v>17.47</v>
      </c>
    </row>
    <row r="17" spans="1:4" x14ac:dyDescent="0.3">
      <c r="A17">
        <v>1985</v>
      </c>
      <c r="B17">
        <v>10.6</v>
      </c>
      <c r="C17">
        <v>8.11</v>
      </c>
      <c r="D17">
        <v>17.260000000000002</v>
      </c>
    </row>
    <row r="18" spans="1:4" x14ac:dyDescent="0.3">
      <c r="A18">
        <v>1986</v>
      </c>
      <c r="B18">
        <v>11.16</v>
      </c>
      <c r="C18">
        <v>8.74</v>
      </c>
      <c r="D18">
        <v>17.670000000000002</v>
      </c>
    </row>
    <row r="19" spans="1:4" x14ac:dyDescent="0.3">
      <c r="A19">
        <v>1987</v>
      </c>
      <c r="B19">
        <v>11.19</v>
      </c>
      <c r="C19">
        <v>8.77</v>
      </c>
      <c r="D19">
        <v>17.440000000000001</v>
      </c>
    </row>
    <row r="20" spans="1:4" x14ac:dyDescent="0.3">
      <c r="A20">
        <v>1988</v>
      </c>
      <c r="B20">
        <v>11.48</v>
      </c>
      <c r="C20">
        <v>9.0299999999999994</v>
      </c>
      <c r="D20">
        <v>17.850000000000001</v>
      </c>
    </row>
    <row r="21" spans="1:4" x14ac:dyDescent="0.3">
      <c r="A21">
        <v>1989</v>
      </c>
      <c r="B21">
        <v>11.9</v>
      </c>
      <c r="C21">
        <v>9.52</v>
      </c>
      <c r="D21">
        <v>18.13</v>
      </c>
    </row>
    <row r="22" spans="1:4" x14ac:dyDescent="0.3">
      <c r="A22">
        <v>1990</v>
      </c>
      <c r="B22">
        <v>12.69</v>
      </c>
      <c r="C22">
        <v>10.29</v>
      </c>
      <c r="D22">
        <v>18.41</v>
      </c>
    </row>
    <row r="23" spans="1:4" x14ac:dyDescent="0.3">
      <c r="A23">
        <v>1991</v>
      </c>
      <c r="B23">
        <v>12.28</v>
      </c>
      <c r="C23">
        <v>10.039999999999999</v>
      </c>
      <c r="D23">
        <v>17.850000000000001</v>
      </c>
    </row>
    <row r="24" spans="1:4" x14ac:dyDescent="0.3">
      <c r="A24">
        <v>1992</v>
      </c>
      <c r="B24">
        <v>13.64</v>
      </c>
      <c r="C24">
        <v>11.34</v>
      </c>
      <c r="D24">
        <v>18.89</v>
      </c>
    </row>
    <row r="25" spans="1:4" x14ac:dyDescent="0.3">
      <c r="A25">
        <v>1993</v>
      </c>
      <c r="B25">
        <v>13.67</v>
      </c>
      <c r="C25">
        <v>11.44</v>
      </c>
      <c r="D25">
        <v>18.690000000000001</v>
      </c>
    </row>
    <row r="26" spans="1:4" x14ac:dyDescent="0.3">
      <c r="A26">
        <v>1994</v>
      </c>
      <c r="B26">
        <v>14.59</v>
      </c>
      <c r="C26">
        <v>12.26</v>
      </c>
      <c r="D26">
        <v>19.600000000000001</v>
      </c>
    </row>
    <row r="27" spans="1:4" x14ac:dyDescent="0.3">
      <c r="A27">
        <v>1995</v>
      </c>
      <c r="B27">
        <v>15.12</v>
      </c>
      <c r="C27">
        <v>12.74</v>
      </c>
      <c r="D27">
        <v>20</v>
      </c>
    </row>
    <row r="28" spans="1:4" x14ac:dyDescent="0.3">
      <c r="A28">
        <v>1996</v>
      </c>
      <c r="B28">
        <v>14.86</v>
      </c>
      <c r="C28">
        <v>12.67</v>
      </c>
      <c r="D28">
        <v>19.63</v>
      </c>
    </row>
    <row r="29" spans="1:4" x14ac:dyDescent="0.3">
      <c r="A29">
        <v>1997</v>
      </c>
      <c r="B29">
        <v>15.22</v>
      </c>
      <c r="C29">
        <v>13.06</v>
      </c>
      <c r="D29">
        <v>19.649999999999999</v>
      </c>
    </row>
    <row r="30" spans="1:4" x14ac:dyDescent="0.3">
      <c r="A30">
        <v>1998</v>
      </c>
      <c r="B30">
        <v>16.8</v>
      </c>
      <c r="C30">
        <v>14.54</v>
      </c>
      <c r="D30">
        <v>21.14</v>
      </c>
    </row>
    <row r="31" spans="1:4" x14ac:dyDescent="0.3">
      <c r="A31">
        <v>1999</v>
      </c>
      <c r="B31">
        <v>16.98</v>
      </c>
      <c r="C31">
        <v>14.81</v>
      </c>
      <c r="D31">
        <v>21.22</v>
      </c>
    </row>
    <row r="32" spans="1:4" x14ac:dyDescent="0.3">
      <c r="A32">
        <v>2000</v>
      </c>
      <c r="B32">
        <v>18.100000000000001</v>
      </c>
      <c r="C32">
        <v>15.78</v>
      </c>
      <c r="D32">
        <v>22.17</v>
      </c>
    </row>
    <row r="33" spans="1:4" x14ac:dyDescent="0.3">
      <c r="A33">
        <v>2001</v>
      </c>
      <c r="B33">
        <v>17.93</v>
      </c>
      <c r="C33">
        <v>15.7</v>
      </c>
      <c r="D33">
        <v>21.77</v>
      </c>
    </row>
    <row r="34" spans="1:4" x14ac:dyDescent="0.3">
      <c r="A34">
        <v>2002</v>
      </c>
      <c r="B34">
        <v>18.79</v>
      </c>
      <c r="C34">
        <v>16.43</v>
      </c>
      <c r="D34">
        <v>22.47</v>
      </c>
    </row>
    <row r="35" spans="1:4" x14ac:dyDescent="0.3">
      <c r="A35">
        <v>2003</v>
      </c>
      <c r="B35">
        <v>19.8</v>
      </c>
      <c r="C35">
        <v>17.45</v>
      </c>
      <c r="D35">
        <v>23.89</v>
      </c>
    </row>
    <row r="36" spans="1:4" x14ac:dyDescent="0.3">
      <c r="A36">
        <v>2004</v>
      </c>
      <c r="B36">
        <v>20.440000000000001</v>
      </c>
      <c r="C36">
        <v>18.100000000000001</v>
      </c>
      <c r="D36">
        <v>24.2</v>
      </c>
    </row>
    <row r="37" spans="1:4" x14ac:dyDescent="0.3">
      <c r="A37">
        <v>2005</v>
      </c>
      <c r="B37">
        <v>21.73</v>
      </c>
      <c r="C37">
        <v>19.3</v>
      </c>
      <c r="D37">
        <v>25.5</v>
      </c>
    </row>
    <row r="38" spans="1:4" x14ac:dyDescent="0.3">
      <c r="A38">
        <v>2006</v>
      </c>
      <c r="B38">
        <v>23.15</v>
      </c>
      <c r="C38">
        <v>20.49</v>
      </c>
      <c r="D38">
        <v>27.26</v>
      </c>
    </row>
    <row r="39" spans="1:4" x14ac:dyDescent="0.3">
      <c r="A39">
        <v>2007</v>
      </c>
      <c r="B39">
        <v>24.06</v>
      </c>
      <c r="C39">
        <v>21.4</v>
      </c>
      <c r="D39">
        <v>27.96</v>
      </c>
    </row>
    <row r="40" spans="1:4" x14ac:dyDescent="0.3">
      <c r="A40">
        <v>2008</v>
      </c>
      <c r="B40">
        <v>24.93</v>
      </c>
      <c r="C40">
        <v>22.28</v>
      </c>
      <c r="D40">
        <v>28.79</v>
      </c>
    </row>
    <row r="41" spans="1:4" x14ac:dyDescent="0.3">
      <c r="A41">
        <v>2009</v>
      </c>
      <c r="B41">
        <v>25.33</v>
      </c>
      <c r="C41">
        <v>22.66</v>
      </c>
      <c r="D41">
        <v>29.4</v>
      </c>
    </row>
    <row r="42" spans="1:4" x14ac:dyDescent="0.3">
      <c r="A42">
        <v>2010</v>
      </c>
      <c r="B42">
        <v>27.49</v>
      </c>
      <c r="C42">
        <v>24.64</v>
      </c>
      <c r="D42">
        <v>31.52</v>
      </c>
    </row>
    <row r="43" spans="1:4" x14ac:dyDescent="0.3">
      <c r="A43">
        <v>2011</v>
      </c>
      <c r="B43">
        <v>28.88</v>
      </c>
      <c r="C43">
        <v>25.94</v>
      </c>
      <c r="D43">
        <v>32.92</v>
      </c>
    </row>
    <row r="44" spans="1:4" x14ac:dyDescent="0.3">
      <c r="A44">
        <v>2012</v>
      </c>
      <c r="B44">
        <v>30.36</v>
      </c>
      <c r="C44">
        <v>27.21</v>
      </c>
      <c r="D44">
        <v>34.729999999999997</v>
      </c>
    </row>
    <row r="45" spans="1:4" x14ac:dyDescent="0.3">
      <c r="A45">
        <v>2013</v>
      </c>
      <c r="B45">
        <v>30.33</v>
      </c>
      <c r="C45">
        <v>27.24</v>
      </c>
      <c r="D45">
        <v>34.659999999999997</v>
      </c>
    </row>
    <row r="46" spans="1:4" x14ac:dyDescent="0.3">
      <c r="A46">
        <v>2014</v>
      </c>
      <c r="B46">
        <v>31.39</v>
      </c>
      <c r="C46">
        <v>28.14</v>
      </c>
      <c r="D46">
        <v>35.479999999999997</v>
      </c>
    </row>
    <row r="47" spans="1:4" x14ac:dyDescent="0.3">
      <c r="A47">
        <v>2015</v>
      </c>
      <c r="B47">
        <v>31.89</v>
      </c>
      <c r="C47">
        <v>28.68</v>
      </c>
      <c r="D47">
        <v>36.01</v>
      </c>
    </row>
    <row r="48" spans="1:4" x14ac:dyDescent="0.3">
      <c r="A48">
        <v>2016</v>
      </c>
      <c r="B48">
        <v>33.380000000000003</v>
      </c>
      <c r="C48">
        <v>29.99</v>
      </c>
      <c r="D48">
        <v>37.58</v>
      </c>
    </row>
    <row r="49" spans="1:4" x14ac:dyDescent="0.3">
      <c r="A49">
        <v>2017</v>
      </c>
      <c r="B49">
        <v>34.299999999999997</v>
      </c>
      <c r="C49">
        <v>30.79</v>
      </c>
      <c r="D49">
        <v>38.729999999999997</v>
      </c>
    </row>
    <row r="50" spans="1:4" x14ac:dyDescent="0.3">
      <c r="A50">
        <v>2018</v>
      </c>
      <c r="B50">
        <v>36.01</v>
      </c>
      <c r="C50">
        <v>32.369999999999997</v>
      </c>
      <c r="D50">
        <v>40.75</v>
      </c>
    </row>
    <row r="51" spans="1:4" x14ac:dyDescent="0.3">
      <c r="A51">
        <v>2019</v>
      </c>
      <c r="B51">
        <v>36.299999999999997</v>
      </c>
      <c r="C51">
        <v>32.67</v>
      </c>
      <c r="D51">
        <v>41.02</v>
      </c>
    </row>
    <row r="52" spans="1:4" x14ac:dyDescent="0.3">
      <c r="A52">
        <v>2020</v>
      </c>
      <c r="B52">
        <v>37.4</v>
      </c>
      <c r="C52">
        <v>33.590000000000003</v>
      </c>
      <c r="D52">
        <v>42.17</v>
      </c>
    </row>
    <row r="53" spans="1:4" x14ac:dyDescent="0.3">
      <c r="A53">
        <v>2021</v>
      </c>
      <c r="B53">
        <v>39.18</v>
      </c>
      <c r="C53">
        <v>34.93</v>
      </c>
      <c r="D53">
        <v>44.84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7EE7757765AD46B7E8DA6301AA1A82" ma:contentTypeVersion="5" ma:contentTypeDescription="Create a new document." ma:contentTypeScope="" ma:versionID="473897ac90078d0f33a2154e474031ad">
  <xsd:schema xmlns:xsd="http://www.w3.org/2001/XMLSchema" xmlns:xs="http://www.w3.org/2001/XMLSchema" xmlns:p="http://schemas.microsoft.com/office/2006/metadata/properties" xmlns:ns3="303cb07d-1d24-46c7-b657-b7f2d7a8f265" targetNamespace="http://schemas.microsoft.com/office/2006/metadata/properties" ma:root="true" ma:fieldsID="45473d5b04d64d9972a851c76a54bbf4" ns3:_="">
    <xsd:import namespace="303cb07d-1d24-46c7-b657-b7f2d7a8f2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cb07d-1d24-46c7-b657-b7f2d7a8f2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A540A1-B930-4384-AE5E-A941B60DFB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3cb07d-1d24-46c7-b657-b7f2d7a8f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9FCDE1-F428-4E69-9497-DAF843CBC5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4B1810-55DA-4428-9159-FA46610ED12B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303cb07d-1d24-46c7-b657-b7f2d7a8f2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yaseen khan</cp:lastModifiedBy>
  <dcterms:created xsi:type="dcterms:W3CDTF">2026-04-24T13:29:58Z</dcterms:created>
  <dcterms:modified xsi:type="dcterms:W3CDTF">2026-04-24T14:01:49Z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0x010100AE7EE7757765AD46B7E8DA6301AA1A82</vt:lpwstr>
  </property>
</Properties>
</file>